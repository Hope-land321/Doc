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\Livrables\"/>
    </mc:Choice>
  </mc:AlternateContent>
  <xr:revisionPtr revIDLastSave="0" documentId="13_ncr:1_{26EA59D7-8748-4A52-AE6F-6D47EE3544B0}" xr6:coauthVersionLast="47" xr6:coauthVersionMax="47" xr10:uidLastSave="{00000000-0000-0000-0000-000000000000}"/>
  <bookViews>
    <workbookView xWindow="-120" yWindow="-120" windowWidth="20730" windowHeight="11160" xr2:uid="{81451C1B-E307-4F23-9AB5-43776EA94A49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E6" i="1"/>
  <c r="C7" i="1" s="1"/>
  <c r="E7" i="1" s="1"/>
  <c r="C8" i="1" l="1"/>
  <c r="E8" i="1" l="1"/>
  <c r="C9" i="1" s="1"/>
  <c r="E9" i="1" s="1"/>
  <c r="C10" i="1" s="1"/>
  <c r="E10" i="1" l="1"/>
  <c r="C11" i="1" s="1"/>
  <c r="E11" i="1" l="1"/>
  <c r="C12" i="1" l="1"/>
  <c r="E12" i="1" s="1"/>
  <c r="C13" i="1" l="1"/>
  <c r="E13" i="1" s="1"/>
  <c r="C14" i="1" l="1"/>
  <c r="E14" i="1" s="1"/>
  <c r="C15" i="1" s="1"/>
  <c r="E15" i="1" s="1"/>
  <c r="C16" i="1" s="1"/>
  <c r="E16" i="1" s="1"/>
</calcChain>
</file>

<file path=xl/sharedStrings.xml><?xml version="1.0" encoding="utf-8"?>
<sst xmlns="http://schemas.openxmlformats.org/spreadsheetml/2006/main" count="17" uniqueCount="17">
  <si>
    <t>Etapes</t>
  </si>
  <si>
    <t>Date de début</t>
  </si>
  <si>
    <t>Durée (en jours)</t>
  </si>
  <si>
    <t>Date de fin</t>
  </si>
  <si>
    <t>Date</t>
  </si>
  <si>
    <t xml:space="preserve"> </t>
  </si>
  <si>
    <t>Articulations &amp; Poses</t>
  </si>
  <si>
    <t>Trajectoires Coordonnées</t>
  </si>
  <si>
    <t>Pipeline Image</t>
  </si>
  <si>
    <t>Primitives Pick &amp; Place</t>
  </si>
  <si>
    <t>Reconnaissance Objets</t>
  </si>
  <si>
    <t>Localisation 3D Objet</t>
  </si>
  <si>
    <t>Test Pick &amp; Place</t>
  </si>
  <si>
    <t>Test &amp; Publication</t>
  </si>
  <si>
    <t>Test &amp; Pose ROS</t>
  </si>
  <si>
    <t>C Décision / FSM</t>
  </si>
  <si>
    <t>Test / Logs / Ajustements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</si>
</sst>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14" fontId="0" fillId="0" borderId="9" xfId="0" applyNumberFormat="1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4" fontId="0" fillId="0" borderId="10" xfId="0" applyNumberFormat="1" applyBorder="1" applyAlignment="1">
      <alignment horizontal="center" textRotation="90"/>
    </xf>
    <xf numFmtId="14" fontId="0" fillId="0" borderId="11" xfId="0" applyNumberFormat="1" applyBorder="1" applyAlignment="1">
      <alignment horizontal="center" textRotation="90"/>
    </xf>
    <xf numFmtId="14" fontId="0" fillId="0" borderId="12" xfId="0" applyNumberFormat="1" applyBorder="1" applyAlignment="1">
      <alignment horizontal="center" textRotation="90"/>
    </xf>
  </cellXfs>
  <cellStyles count="1">
    <cellStyle name="Normal" xfId="0" builtinId="0"/>
  </cellStyles>
  <dxfs count="5">
    <dxf>
      <fill>
        <patternFill patternType="darkUp"/>
      </fill>
    </dxf>
    <dxf>
      <fill>
        <patternFill>
          <bgColor rgb="FF00B05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6" fmlaLink="$G$4" horiz="1" max="51" page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76200</xdr:rowOff>
        </xdr:from>
        <xdr:to>
          <xdr:col>19</xdr:col>
          <xdr:colOff>2241</xdr:colOff>
          <xdr:row>3</xdr:row>
          <xdr:rowOff>161925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0887FA-A01B-405A-8E5B-5E1CD63178C6}" name="Examen" displayName="Examen" ref="B2:B17" totalsRowShown="0" headerRowDxfId="4" dataDxfId="3">
  <autoFilter ref="B2:B17" xr:uid="{0F0887FA-A01B-405A-8E5B-5E1CD63178C6}"/>
  <tableColumns count="1">
    <tableColumn id="1" xr3:uid="{95039622-D6EA-4093-A6A5-C79603E871A4}" name="Date" dataDxfId="2">
      <calculatedColumnFormula>+B2+1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2D79-4540-4651-BAB6-0B692F91E25C}">
  <dimension ref="B4:S24"/>
  <sheetViews>
    <sheetView tabSelected="1" topLeftCell="A3" zoomScale="85" zoomScaleNormal="60" workbookViewId="0">
      <selection activeCell="C19" sqref="C19"/>
    </sheetView>
  </sheetViews>
  <sheetFormatPr baseColWidth="10" defaultRowHeight="15" x14ac:dyDescent="0.25"/>
  <cols>
    <col min="2" max="2" width="45" customWidth="1"/>
    <col min="3" max="3" width="14.7109375" style="1" customWidth="1"/>
    <col min="4" max="4" width="16.42578125" customWidth="1"/>
    <col min="5" max="5" width="12" style="1" customWidth="1"/>
    <col min="6" max="19" width="4.5703125" customWidth="1"/>
  </cols>
  <sheetData>
    <row r="4" spans="2:19" ht="15.75" thickBot="1" x14ac:dyDescent="0.3">
      <c r="G4">
        <v>0</v>
      </c>
    </row>
    <row r="5" spans="2:19" ht="65.45" customHeight="1" thickBot="1" x14ac:dyDescent="0.3">
      <c r="B5" s="13" t="s">
        <v>0</v>
      </c>
      <c r="C5" s="14" t="s">
        <v>1</v>
      </c>
      <c r="D5" s="15" t="s">
        <v>2</v>
      </c>
      <c r="E5" s="22" t="s">
        <v>3</v>
      </c>
      <c r="F5" s="26">
        <f>+C6+G4</f>
        <v>46014</v>
      </c>
      <c r="G5" s="27">
        <f>+F5+1</f>
        <v>46015</v>
      </c>
      <c r="H5" s="27">
        <f t="shared" ref="H5:S5" si="0">+G5+1</f>
        <v>46016</v>
      </c>
      <c r="I5" s="27">
        <f t="shared" si="0"/>
        <v>46017</v>
      </c>
      <c r="J5" s="27">
        <f t="shared" si="0"/>
        <v>46018</v>
      </c>
      <c r="K5" s="27">
        <f t="shared" si="0"/>
        <v>46019</v>
      </c>
      <c r="L5" s="27">
        <f t="shared" si="0"/>
        <v>46020</v>
      </c>
      <c r="M5" s="27">
        <f t="shared" si="0"/>
        <v>46021</v>
      </c>
      <c r="N5" s="27">
        <f t="shared" si="0"/>
        <v>46022</v>
      </c>
      <c r="O5" s="27">
        <f t="shared" si="0"/>
        <v>46023</v>
      </c>
      <c r="P5" s="27">
        <f t="shared" si="0"/>
        <v>46024</v>
      </c>
      <c r="Q5" s="27">
        <f t="shared" si="0"/>
        <v>46025</v>
      </c>
      <c r="R5" s="27">
        <f t="shared" si="0"/>
        <v>46026</v>
      </c>
      <c r="S5" s="28">
        <f t="shared" si="0"/>
        <v>46027</v>
      </c>
    </row>
    <row r="6" spans="2:19" x14ac:dyDescent="0.25">
      <c r="B6" s="9" t="s">
        <v>6</v>
      </c>
      <c r="C6" s="10">
        <v>46014</v>
      </c>
      <c r="D6" s="11">
        <v>2</v>
      </c>
      <c r="E6" s="12">
        <f>+WORKDAY.INTL(Feuil1!$C6,Feuil1!$D6-1,"0000000",Examen[Date])</f>
        <v>46015</v>
      </c>
      <c r="F6" s="25" t="s">
        <v>5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4"/>
    </row>
    <row r="7" spans="2:19" x14ac:dyDescent="0.25">
      <c r="B7" s="4" t="s">
        <v>7</v>
      </c>
      <c r="C7" s="3">
        <f>+WORKDAY.INTL(E6,1,"0000000",Examen[Date])</f>
        <v>46017</v>
      </c>
      <c r="D7" s="2">
        <v>2</v>
      </c>
      <c r="E7" s="5">
        <f>+WORKDAY.INTL(Feuil1!$C7,Feuil1!$D7-1,"0000000",Examen[Date])</f>
        <v>46018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</row>
    <row r="8" spans="2:19" x14ac:dyDescent="0.25">
      <c r="B8" s="4" t="s">
        <v>8</v>
      </c>
      <c r="C8" s="3">
        <f>+WORKDAY.INTL(E7,1,"0000000",Examen[Date])</f>
        <v>46019</v>
      </c>
      <c r="D8" s="2">
        <v>2</v>
      </c>
      <c r="E8" s="5">
        <f>+WORKDAY.INTL(Feuil1!$C8,Feuil1!$D8-1,"0000000",Examen[Date])</f>
        <v>46020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</row>
    <row r="9" spans="2:19" x14ac:dyDescent="0.25">
      <c r="B9" s="4" t="s">
        <v>9</v>
      </c>
      <c r="C9" s="3">
        <f>+WORKDAY.INTL(E8,1,"0000000",Examen[Date])</f>
        <v>46021</v>
      </c>
      <c r="D9" s="2">
        <v>2</v>
      </c>
      <c r="E9" s="5">
        <f>+WORKDAY.INTL(Feuil1!$C9,Feuil1!$D9-1,"0000000",Examen[Date])</f>
        <v>46022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</row>
    <row r="10" spans="2:19" x14ac:dyDescent="0.25">
      <c r="B10" s="4" t="s">
        <v>12</v>
      </c>
      <c r="C10" s="3">
        <f>+WORKDAY.INTL(E9,1,"0000000",Examen[Date])</f>
        <v>46024</v>
      </c>
      <c r="D10" s="2">
        <v>1</v>
      </c>
      <c r="E10" s="5">
        <f>+WORKDAY.INTL(Feuil1!$C10,Feuil1!$D10-1,"0000000",Examen[Date])</f>
        <v>46024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</row>
    <row r="11" spans="2:19" x14ac:dyDescent="0.25">
      <c r="B11" s="4" t="s">
        <v>10</v>
      </c>
      <c r="C11" s="3">
        <f>+WORKDAY.INTL(E10,1,"0000000",Examen[Date])</f>
        <v>46025</v>
      </c>
      <c r="D11" s="2">
        <v>2</v>
      </c>
      <c r="E11" s="5">
        <f>+WORKDAY.INTL(Feuil1!$C11,Feuil1!$D11-1,"0000000",Examen[Date])</f>
        <v>46026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</row>
    <row r="12" spans="2:19" x14ac:dyDescent="0.25">
      <c r="B12" s="4" t="s">
        <v>13</v>
      </c>
      <c r="C12" s="3">
        <f>+WORKDAY.INTL(E11,1,"0000000",Examen[Date])</f>
        <v>46027</v>
      </c>
      <c r="D12" s="2">
        <v>1</v>
      </c>
      <c r="E12" s="5">
        <f>+WORKDAY.INTL(Feuil1!$C12,Feuil1!$D12-1,"0000000",Examen[Date])</f>
        <v>46027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</row>
    <row r="13" spans="2:19" x14ac:dyDescent="0.25">
      <c r="B13" s="4" t="s">
        <v>11</v>
      </c>
      <c r="C13" s="3">
        <f>+WORKDAY.INTL(E12,1,"0000000",Examen[Date])</f>
        <v>46028</v>
      </c>
      <c r="D13" s="2">
        <v>2</v>
      </c>
      <c r="E13" s="5">
        <f>+WORKDAY.INTL(Feuil1!$C13,Feuil1!$D13-1,"0000000",Examen[Date])</f>
        <v>46029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</row>
    <row r="14" spans="2:19" x14ac:dyDescent="0.25">
      <c r="B14" s="4" t="s">
        <v>14</v>
      </c>
      <c r="C14" s="3">
        <f>+WORKDAY.INTL(E13,1,"0000000",Examen[Date])</f>
        <v>46030</v>
      </c>
      <c r="D14" s="2">
        <v>1</v>
      </c>
      <c r="E14" s="5">
        <f>+WORKDAY.INTL(Feuil1!$C14,Feuil1!$D14-1,"0000000",Examen[Date])</f>
        <v>46030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</row>
    <row r="15" spans="2:19" x14ac:dyDescent="0.25">
      <c r="B15" s="4" t="s">
        <v>15</v>
      </c>
      <c r="C15" s="3">
        <f>+WORKDAY.INTL(E14,1,"0000000",Examen[Date])</f>
        <v>46031</v>
      </c>
      <c r="D15" s="2">
        <v>2</v>
      </c>
      <c r="E15" s="5">
        <f>+WORKDAY.INTL(Feuil1!$C15,Feuil1!$D15-1,"0000000",Examen[Date])</f>
        <v>46032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</row>
    <row r="16" spans="2:19" ht="15.75" thickBot="1" x14ac:dyDescent="0.3">
      <c r="B16" s="6" t="s">
        <v>16</v>
      </c>
      <c r="C16" s="7">
        <f>+WORKDAY.INTL(E15,1,"0000000",Examen[Date])</f>
        <v>46033</v>
      </c>
      <c r="D16" s="2">
        <v>2</v>
      </c>
      <c r="E16" s="8">
        <f>+WORKDAY.INTL(Feuil1!$C16,Feuil1!$D16-1,"0000000",Examen[Date])</f>
        <v>46034</v>
      </c>
      <c r="F16" s="19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</row>
    <row r="17" spans="3:5" x14ac:dyDescent="0.25">
      <c r="C17"/>
      <c r="E17"/>
    </row>
    <row r="18" spans="3:5" x14ac:dyDescent="0.25">
      <c r="C18"/>
      <c r="E18"/>
    </row>
    <row r="19" spans="3:5" x14ac:dyDescent="0.25">
      <c r="C19"/>
      <c r="E19"/>
    </row>
    <row r="20" spans="3:5" x14ac:dyDescent="0.25">
      <c r="C20"/>
      <c r="E20"/>
    </row>
    <row r="21" spans="3:5" x14ac:dyDescent="0.25">
      <c r="C21"/>
      <c r="E21"/>
    </row>
    <row r="22" spans="3:5" x14ac:dyDescent="0.25">
      <c r="C22"/>
      <c r="E22"/>
    </row>
    <row r="23" spans="3:5" x14ac:dyDescent="0.25">
      <c r="C23"/>
      <c r="E23"/>
    </row>
    <row r="24" spans="3:5" x14ac:dyDescent="0.25">
      <c r="C24"/>
      <c r="E24"/>
    </row>
  </sheetData>
  <conditionalFormatting sqref="F6:S16">
    <cfRule type="expression" dxfId="1" priority="1">
      <formula>AND(F$5&gt;=$C6,F$5&lt;=$E6)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5</xdr:col>
                    <xdr:colOff>0</xdr:colOff>
                    <xdr:row>2</xdr:row>
                    <xdr:rowOff>76200</xdr:rowOff>
                  </from>
                  <to>
                    <xdr:col>18</xdr:col>
                    <xdr:colOff>304800</xdr:colOff>
                    <xdr:row>3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BA18E127-6C17-4971-9F18-4238C31A31BF}">
            <xm:f>COUNTIF(Feuil2!$B$3:$B$20,INDEX($F$5:$S$5,COLUMN(F5)-COLUMN($F$5)+1))&gt;0</xm:f>
            <x14:dxf>
              <fill>
                <patternFill patternType="darkUp"/>
              </fill>
            </x14:dxf>
          </x14:cfRule>
          <xm:sqref>F6:S16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C200-0484-44B6-9368-45806B8D7BC7}">
  <dimension ref="B2:B9"/>
  <sheetViews>
    <sheetView workbookViewId="0">
      <selection activeCell="F9" sqref="F9"/>
    </sheetView>
  </sheetViews>
  <sheetFormatPr baseColWidth="10" defaultRowHeight="15" x14ac:dyDescent="0.25"/>
  <cols>
    <col min="2" max="2" width="11.5703125" style="1"/>
  </cols>
  <sheetData>
    <row r="2" spans="2:2" x14ac:dyDescent="0.25">
      <c r="B2" s="1" t="s">
        <v>4</v>
      </c>
    </row>
    <row r="7" spans="2:2" x14ac:dyDescent="0.25">
      <c r="B7" s="1">
        <v>46016</v>
      </c>
    </row>
    <row r="9" spans="2:2" x14ac:dyDescent="0.25">
      <c r="B9" s="1">
        <v>46023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Jaurès Lissanon</dc:creator>
  <cp:lastModifiedBy>Aboubakar ADRAMANE</cp:lastModifiedBy>
  <dcterms:created xsi:type="dcterms:W3CDTF">2025-11-30T06:31:42Z</dcterms:created>
  <dcterms:modified xsi:type="dcterms:W3CDTF">2025-12-20T10:58:54Z</dcterms:modified>
</cp:coreProperties>
</file>